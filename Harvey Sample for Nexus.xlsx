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17A4D94-4814-43EF-B2C8-4FA43B86DF85}" xr6:coauthVersionLast="47" xr6:coauthVersionMax="47" xr10:uidLastSave="{00000000-0000-0000-0000-000000000000}"/>
  <bookViews>
    <workbookView xWindow="16284" yWindow="-6060" windowWidth="30936" windowHeight="16776" xr2:uid="{3BD17833-DCAB-493E-8AF4-991C89C46FD9}"/>
  </bookViews>
  <sheets>
    <sheet name="Harvey - Sample" sheetId="1" r:id="rId1"/>
  </sheets>
  <externalReferences>
    <externalReference r:id="rId2"/>
  </externalReferences>
  <definedNames>
    <definedName name="_xlnm._FilterDatabase" localSheetId="0" hidden="1">'Harvey - Sample'!$A$4:$AF$14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1" l="1"/>
  <c r="B14" i="1"/>
  <c r="N14" i="1" s="1"/>
  <c r="D5" i="1"/>
  <c r="F5" i="1" s="1"/>
  <c r="C5" i="1"/>
  <c r="C14" i="1" l="1"/>
  <c r="E5" i="1"/>
  <c r="J5" i="1"/>
  <c r="O5" i="1" s="1"/>
  <c r="D14" i="1"/>
  <c r="K14" i="1" a="1"/>
  <c r="K14" i="1" s="1"/>
  <c r="AD5" i="1" l="1"/>
  <c r="F14" i="1"/>
  <c r="J14" i="1" s="1"/>
  <c r="E14" i="1"/>
  <c r="AE5" i="1"/>
  <c r="AF5" i="1" s="1" a="1"/>
  <c r="AF5" i="1" s="1"/>
  <c r="P5" i="1" s="1"/>
  <c r="U5" i="1" s="1"/>
  <c r="V5" i="1" s="1"/>
  <c r="AC5" i="1" s="1"/>
  <c r="O14" i="1" l="1"/>
  <c r="AE14" i="1" s="1"/>
  <c r="AF14" i="1" s="1" a="1"/>
  <c r="AF14" i="1" s="1"/>
  <c r="P14" i="1" s="1"/>
  <c r="U14" i="1" s="1"/>
  <c r="V14" i="1" s="1"/>
  <c r="AC14" i="1" s="1"/>
  <c r="AD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<sst xmlns="http://schemas.openxmlformats.org/spreadsheetml/2006/main" count="79" uniqueCount="40">
  <si>
    <t>BIZBLOQS MANAGEMENT SOLUTIONS REPRESENTATIVE OFFICE</t>
  </si>
  <si>
    <t>Payroll Registry</t>
  </si>
  <si>
    <t xml:space="preserve"> </t>
  </si>
  <si>
    <t xml:space="preserve">Period Covered: November 29 - December 13, 2025 </t>
  </si>
  <si>
    <t>Fixed</t>
  </si>
  <si>
    <t>Premiums- Employees Share</t>
  </si>
  <si>
    <t>Other Deduction &amp; Loans</t>
  </si>
  <si>
    <t>Employee Name</t>
  </si>
  <si>
    <t>Monthly Gross</t>
  </si>
  <si>
    <t>HalfMonth Basic Salary</t>
  </si>
  <si>
    <t>Daily Rate            ( Basic + Allow)</t>
  </si>
  <si>
    <t>Hourly Rate</t>
  </si>
  <si>
    <t>Taxable - OT</t>
  </si>
  <si>
    <t>Night Differential  Basic</t>
  </si>
  <si>
    <t>Adjustment</t>
  </si>
  <si>
    <t>Leave w/o pay</t>
  </si>
  <si>
    <t>Total Basic</t>
  </si>
  <si>
    <t>SSS</t>
  </si>
  <si>
    <t xml:space="preserve">SSS MPF </t>
  </si>
  <si>
    <t>Pagibig</t>
  </si>
  <si>
    <t>Philhealth</t>
  </si>
  <si>
    <t>Taxable Basic Salary</t>
  </si>
  <si>
    <t>Withholding Tax</t>
  </si>
  <si>
    <t>MP2</t>
  </si>
  <si>
    <t>Salary Loan</t>
  </si>
  <si>
    <t>Total Deduction</t>
  </si>
  <si>
    <t>Sub-Total  Pay</t>
  </si>
  <si>
    <t>Non-Taxable- OT/Holiday Pay</t>
  </si>
  <si>
    <t>Tax Payable (Refund)</t>
  </si>
  <si>
    <t>Total Final Net Pay</t>
  </si>
  <si>
    <t>Gross Amount</t>
  </si>
  <si>
    <t>Taxable Income</t>
  </si>
  <si>
    <t>Tax Amount</t>
  </si>
  <si>
    <t xml:space="preserve">Delos Santos, Harvey </t>
  </si>
  <si>
    <t>Period Covered: December 14 - 28, 2025</t>
  </si>
  <si>
    <t>5% - 2024 Rate (ER + EE)</t>
  </si>
  <si>
    <t>Rice Subsidy</t>
  </si>
  <si>
    <t>Laundry and Uniform Allowance</t>
  </si>
  <si>
    <t>Meal Allowance</t>
  </si>
  <si>
    <t>Night Differential-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</si>
</sst>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#,##0.00_ ;[Red]\-#,##0.0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1" applyFont="1"/>
    <xf numFmtId="165" fontId="0" fillId="0" borderId="0" xfId="0" applyNumberFormat="1"/>
    <xf numFmtId="43" fontId="4" fillId="0" borderId="0" xfId="2" applyFont="1" applyAlignment="1">
      <alignment horizontal="center" vertical="center"/>
    </xf>
    <xf numFmtId="43" fontId="0" fillId="0" borderId="0" xfId="2" applyFont="1" applyAlignment="1">
      <alignment horizontal="center"/>
    </xf>
    <xf numFmtId="43" fontId="0" fillId="0" borderId="0" xfId="2" applyFont="1" applyBorder="1" applyAlignment="1">
      <alignment horizontal="center"/>
    </xf>
    <xf numFmtId="0" fontId="5" fillId="0" borderId="0" xfId="2" quotePrefix="1" applyNumberFormat="1" applyFont="1" applyAlignment="1">
      <alignment horizontal="left"/>
    </xf>
    <xf numFmtId="43" fontId="4" fillId="2" borderId="1" xfId="2" applyFont="1" applyFill="1" applyBorder="1" applyAlignment="1">
      <alignment horizontal="center" vertical="center"/>
    </xf>
    <xf numFmtId="43" fontId="4" fillId="2" borderId="2" xfId="2" applyFont="1" applyFill="1" applyBorder="1" applyAlignment="1">
      <alignment horizontal="center" vertical="center"/>
    </xf>
    <xf numFmtId="43" fontId="6" fillId="2" borderId="3" xfId="2" applyFont="1" applyFill="1" applyBorder="1" applyAlignment="1"/>
    <xf numFmtId="43" fontId="6" fillId="2" borderId="4" xfId="2" applyFont="1" applyFill="1" applyBorder="1" applyAlignment="1"/>
    <xf numFmtId="43" fontId="6" fillId="2" borderId="5" xfId="2" applyFont="1" applyFill="1" applyBorder="1" applyAlignment="1"/>
    <xf numFmtId="0" fontId="7" fillId="0" borderId="0" xfId="0" applyFont="1"/>
    <xf numFmtId="0" fontId="6" fillId="3" borderId="6" xfId="2" applyNumberFormat="1" applyFont="1" applyFill="1" applyBorder="1" applyAlignment="1">
      <alignment horizontal="center" vertical="center"/>
    </xf>
    <xf numFmtId="43" fontId="6" fillId="3" borderId="7" xfId="2" applyFont="1" applyFill="1" applyBorder="1" applyAlignment="1">
      <alignment horizontal="center" vertical="center" wrapText="1"/>
    </xf>
    <xf numFmtId="0" fontId="6" fillId="3" borderId="7" xfId="3" applyFont="1" applyFill="1" applyBorder="1" applyAlignment="1">
      <alignment horizontal="center" vertical="center" wrapText="1"/>
    </xf>
    <xf numFmtId="43" fontId="6" fillId="3" borderId="7" xfId="2" applyFont="1" applyFill="1" applyBorder="1" applyAlignment="1">
      <alignment horizontal="center" vertical="center"/>
    </xf>
    <xf numFmtId="0" fontId="8" fillId="4" borderId="8" xfId="3" applyFont="1" applyFill="1" applyBorder="1" applyAlignment="1">
      <alignment horizontal="center" vertical="center" wrapText="1"/>
    </xf>
    <xf numFmtId="0" fontId="8" fillId="4" borderId="9" xfId="3" applyFont="1" applyFill="1" applyBorder="1" applyAlignment="1">
      <alignment horizontal="center" vertical="center" wrapText="1"/>
    </xf>
    <xf numFmtId="0" fontId="6" fillId="4" borderId="7" xfId="3" applyFont="1" applyFill="1" applyBorder="1" applyAlignment="1">
      <alignment horizontal="center" vertical="center" wrapText="1"/>
    </xf>
    <xf numFmtId="43" fontId="9" fillId="5" borderId="10" xfId="2" applyFont="1" applyFill="1" applyBorder="1" applyAlignment="1">
      <alignment horizontal="center" vertical="center"/>
    </xf>
    <xf numFmtId="43" fontId="9" fillId="5" borderId="11" xfId="2" applyFont="1" applyFill="1" applyBorder="1" applyAlignment="1">
      <alignment horizontal="center" vertical="center"/>
    </xf>
    <xf numFmtId="43" fontId="9" fillId="5" borderId="8" xfId="2" applyFont="1" applyFill="1" applyBorder="1" applyAlignment="1">
      <alignment horizontal="center" vertical="center"/>
    </xf>
    <xf numFmtId="0" fontId="6" fillId="3" borderId="8" xfId="3" applyFont="1" applyFill="1" applyBorder="1" applyAlignment="1">
      <alignment horizontal="center" vertical="center" wrapText="1"/>
    </xf>
    <xf numFmtId="43" fontId="6" fillId="5" borderId="8" xfId="2" applyFont="1" applyFill="1" applyBorder="1" applyAlignment="1">
      <alignment horizontal="center" vertical="center"/>
    </xf>
    <xf numFmtId="0" fontId="6" fillId="5" borderId="8" xfId="3" applyFont="1" applyFill="1" applyBorder="1" applyAlignment="1">
      <alignment horizontal="center" vertical="center" wrapText="1"/>
    </xf>
    <xf numFmtId="0" fontId="6" fillId="6" borderId="8" xfId="3" applyFont="1" applyFill="1" applyBorder="1" applyAlignment="1">
      <alignment horizontal="center" vertical="center" wrapText="1"/>
    </xf>
    <xf numFmtId="0" fontId="8" fillId="7" borderId="8" xfId="3" applyFont="1" applyFill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0" fontId="6" fillId="8" borderId="12" xfId="3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/>
    </xf>
    <xf numFmtId="0" fontId="6" fillId="0" borderId="10" xfId="3" applyFont="1" applyBorder="1" applyAlignment="1">
      <alignment horizontal="center" vertical="center" wrapText="1"/>
    </xf>
    <xf numFmtId="43" fontId="1" fillId="0" borderId="0" xfId="2" applyFont="1" applyFill="1" applyBorder="1" applyAlignment="1">
      <alignment horizontal="center"/>
    </xf>
    <xf numFmtId="43" fontId="10" fillId="0" borderId="0" xfId="2" applyFont="1" applyFill="1" applyAlignment="1">
      <alignment horizontal="center"/>
    </xf>
    <xf numFmtId="43" fontId="1" fillId="0" borderId="0" xfId="2" applyFont="1" applyFill="1" applyBorder="1"/>
    <xf numFmtId="165" fontId="11" fillId="0" borderId="0" xfId="2" applyNumberFormat="1" applyFont="1" applyFill="1" applyAlignment="1">
      <alignment horizontal="center"/>
    </xf>
    <xf numFmtId="43" fontId="11" fillId="0" borderId="0" xfId="2" applyFont="1" applyFill="1" applyBorder="1" applyAlignment="1">
      <alignment horizontal="center"/>
    </xf>
    <xf numFmtId="43" fontId="1" fillId="0" borderId="0" xfId="2" applyFont="1" applyFill="1" applyAlignment="1">
      <alignment horizontal="center"/>
    </xf>
    <xf numFmtId="165" fontId="12" fillId="0" borderId="0" xfId="4" applyFont="1" applyFill="1" applyAlignment="1">
      <alignment horizontal="left"/>
    </xf>
    <xf numFmtId="165" fontId="1" fillId="0" borderId="0" xfId="4" applyFont="1" applyFill="1"/>
    <xf numFmtId="165" fontId="10" fillId="0" borderId="0" xfId="0" applyNumberFormat="1" applyFont="1"/>
    <xf numFmtId="166" fontId="0" fillId="0" borderId="0" xfId="2" applyNumberFormat="1" applyFont="1" applyFill="1" applyAlignment="1">
      <alignment horizontal="right"/>
    </xf>
    <xf numFmtId="165" fontId="11" fillId="0" borderId="0" xfId="0" applyNumberFormat="1" applyFont="1"/>
    <xf numFmtId="165" fontId="0" fillId="0" borderId="0" xfId="0" applyNumberFormat="1" applyAlignment="1">
      <alignment horizontal="center"/>
    </xf>
    <xf numFmtId="43" fontId="0" fillId="0" borderId="0" xfId="0" applyNumberFormat="1"/>
    <xf numFmtId="43" fontId="1" fillId="0" borderId="0" xfId="2" applyFont="1" applyFill="1"/>
    <xf numFmtId="49" fontId="1" fillId="0" borderId="0" xfId="0" applyNumberFormat="1" applyFont="1" applyAlignment="1">
      <alignment horizontal="left" vertical="center"/>
    </xf>
    <xf numFmtId="165" fontId="0" fillId="0" borderId="0" xfId="4" applyFont="1" applyFill="1"/>
    <xf numFmtId="43" fontId="0" fillId="0" borderId="0" xfId="2" applyFont="1" applyFill="1" applyBorder="1" applyAlignment="1">
      <alignment horizontal="center"/>
    </xf>
    <xf numFmtId="43" fontId="11" fillId="0" borderId="0" xfId="2" applyFont="1" applyFill="1" applyAlignment="1">
      <alignment horizontal="center"/>
    </xf>
    <xf numFmtId="165" fontId="0" fillId="0" borderId="0" xfId="4" applyFont="1" applyFill="1" applyAlignment="1">
      <alignment horizontal="left" vertical="center"/>
    </xf>
    <xf numFmtId="43" fontId="0" fillId="0" borderId="0" xfId="2" applyFont="1" applyFill="1" applyAlignment="1">
      <alignment horizontal="center"/>
    </xf>
    <xf numFmtId="43" fontId="13" fillId="0" borderId="0" xfId="2" applyFont="1" applyFill="1"/>
    <xf numFmtId="43" fontId="0" fillId="0" borderId="0" xfId="2" applyFont="1" applyFill="1"/>
    <xf numFmtId="43" fontId="11" fillId="0" borderId="0" xfId="2" applyFont="1" applyFill="1"/>
    <xf numFmtId="165" fontId="14" fillId="0" borderId="0" xfId="0" applyNumberFormat="1" applyFont="1" applyAlignment="1">
      <alignment horizontal="center"/>
    </xf>
    <xf numFmtId="164" fontId="2" fillId="0" borderId="0" xfId="1" applyFont="1"/>
    <xf numFmtId="164" fontId="0" fillId="0" borderId="0" xfId="0" applyNumberFormat="1"/>
    <xf numFmtId="43" fontId="4" fillId="2" borderId="0" xfId="2" applyFont="1" applyFill="1" applyBorder="1" applyAlignment="1">
      <alignment horizontal="center" vertical="center"/>
    </xf>
    <xf numFmtId="43" fontId="6" fillId="2" borderId="0" xfId="2" applyFont="1" applyFill="1" applyBorder="1" applyAlignment="1"/>
    <xf numFmtId="0" fontId="3" fillId="0" borderId="8" xfId="3" applyBorder="1" applyAlignment="1">
      <alignment horizontal="center" vertical="center" wrapText="1"/>
    </xf>
    <xf numFmtId="43" fontId="2" fillId="0" borderId="0" xfId="2" applyFont="1" applyFill="1" applyBorder="1"/>
    <xf numFmtId="164" fontId="0" fillId="0" borderId="0" xfId="1" applyFont="1" applyFill="1" applyBorder="1" applyAlignment="1">
      <alignment horizontal="center"/>
    </xf>
    <xf numFmtId="164" fontId="1" fillId="0" borderId="0" xfId="1" applyFont="1" applyFill="1" applyBorder="1"/>
  </cellXfs>
  <cellStyles count="5">
    <cellStyle name="Comma" xfId="1" builtinId="3"/>
    <cellStyle name="Comma 3" xfId="2" xr:uid="{8E646B5F-DEB4-4C0E-887E-36F7DEBE7C19}"/>
    <cellStyle name="Comma 4" xfId="4" xr:uid="{14FA2623-C6FC-48B1-8DF8-2E219227D8AB}"/>
    <cellStyle name="Normal" xfId="0" builtinId="0"/>
    <cellStyle name="Normal 3" xfId="3" xr:uid="{922E6A45-FB3D-431C-9D02-7A4ACB0E3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izbloqs.sharepoint.com/sites/Finance265/Gedeelde%20documenten/Finance/04%20DOM/01%20DOM/04A%20SPROUT%20PAYROLL/01%202025/12%20December%202025/12%20Payroll%20Validation-%20December%202025.xlsx" TargetMode="External"/><Relationship Id="rId1" Type="http://schemas.openxmlformats.org/officeDocument/2006/relationships/externalLinkPath" Target="https://bizbloqs.sharepoint.com/sites/Finance265/Gedeelde%20documenten/Finance/04%20DOM/01%20DOM/04A%20SPROUT%20PAYROLL/01%202025/12%20December%202025/12%20Payroll%20Validation-%20Dec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ust 2024_"/>
      <sheetName val="December"/>
      <sheetName val="Payroll August 2024"/>
      <sheetName val="Payroll December 2025"/>
      <sheetName val="Sheet2"/>
      <sheetName val="SSS"/>
      <sheetName val="Sheet1"/>
      <sheetName val="Payroll August 2024 (2)"/>
      <sheetName val="Sheet4"/>
    </sheetNames>
    <sheetDataSet>
      <sheetData sheetId="0"/>
      <sheetData sheetId="1"/>
      <sheetData sheetId="2"/>
      <sheetData sheetId="3"/>
      <sheetData sheetId="4"/>
      <sheetData sheetId="5">
        <row r="10">
          <cell r="B10">
            <v>8750</v>
          </cell>
          <cell r="C10">
            <v>9249.99</v>
          </cell>
          <cell r="M10">
            <v>450</v>
          </cell>
        </row>
        <row r="11">
          <cell r="B11">
            <v>9250</v>
          </cell>
          <cell r="C11">
            <v>9749.99</v>
          </cell>
          <cell r="M11">
            <v>475</v>
          </cell>
        </row>
        <row r="12">
          <cell r="B12">
            <v>9750</v>
          </cell>
          <cell r="C12">
            <v>10249.99</v>
          </cell>
          <cell r="M12">
            <v>500</v>
          </cell>
        </row>
        <row r="13">
          <cell r="B13">
            <v>10250</v>
          </cell>
          <cell r="C13">
            <v>10749.99</v>
          </cell>
          <cell r="M13">
            <v>525</v>
          </cell>
        </row>
        <row r="14">
          <cell r="B14">
            <v>10750</v>
          </cell>
          <cell r="C14">
            <v>11249.99</v>
          </cell>
          <cell r="M14">
            <v>550</v>
          </cell>
        </row>
        <row r="15">
          <cell r="B15">
            <v>11250</v>
          </cell>
          <cell r="C15">
            <v>11749.99</v>
          </cell>
          <cell r="M15">
            <v>575</v>
          </cell>
        </row>
        <row r="16">
          <cell r="B16">
            <v>11750</v>
          </cell>
          <cell r="C16">
            <v>12249.99</v>
          </cell>
          <cell r="M16">
            <v>600</v>
          </cell>
        </row>
        <row r="17">
          <cell r="B17">
            <v>12250</v>
          </cell>
          <cell r="C17">
            <v>12749.99</v>
          </cell>
          <cell r="M17">
            <v>625</v>
          </cell>
        </row>
        <row r="18">
          <cell r="B18">
            <v>12750</v>
          </cell>
          <cell r="C18">
            <v>13249.99</v>
          </cell>
          <cell r="M18">
            <v>650</v>
          </cell>
        </row>
        <row r="19">
          <cell r="B19">
            <v>13250</v>
          </cell>
          <cell r="C19">
            <v>13749.99</v>
          </cell>
          <cell r="M19">
            <v>675</v>
          </cell>
        </row>
        <row r="20">
          <cell r="B20">
            <v>13750</v>
          </cell>
          <cell r="C20">
            <v>14249.99</v>
          </cell>
          <cell r="M20">
            <v>700</v>
          </cell>
        </row>
        <row r="21">
          <cell r="B21">
            <v>14250</v>
          </cell>
          <cell r="C21">
            <v>14749.99</v>
          </cell>
          <cell r="M21">
            <v>725</v>
          </cell>
        </row>
        <row r="22">
          <cell r="B22">
            <v>14750</v>
          </cell>
          <cell r="C22">
            <v>15249.99</v>
          </cell>
          <cell r="M22">
            <v>750</v>
          </cell>
        </row>
        <row r="23">
          <cell r="B23">
            <v>15250</v>
          </cell>
          <cell r="C23">
            <v>15749.99</v>
          </cell>
          <cell r="M23">
            <v>775</v>
          </cell>
        </row>
        <row r="24">
          <cell r="B24">
            <v>15750</v>
          </cell>
          <cell r="C24">
            <v>16249.99</v>
          </cell>
          <cell r="M24">
            <v>800</v>
          </cell>
        </row>
        <row r="25">
          <cell r="B25">
            <v>16250</v>
          </cell>
          <cell r="C25">
            <v>16749.990000000002</v>
          </cell>
          <cell r="M25">
            <v>825</v>
          </cell>
        </row>
        <row r="26">
          <cell r="B26">
            <v>16750</v>
          </cell>
          <cell r="C26">
            <v>17249.990000000002</v>
          </cell>
          <cell r="M26">
            <v>850</v>
          </cell>
        </row>
        <row r="27">
          <cell r="B27">
            <v>17250</v>
          </cell>
          <cell r="C27">
            <v>17749.990000000002</v>
          </cell>
          <cell r="M27">
            <v>875</v>
          </cell>
        </row>
        <row r="28">
          <cell r="B28">
            <v>17750</v>
          </cell>
          <cell r="C28">
            <v>18249.990000000002</v>
          </cell>
          <cell r="M28">
            <v>900</v>
          </cell>
        </row>
        <row r="29">
          <cell r="B29">
            <v>18250</v>
          </cell>
          <cell r="C29">
            <v>18749.990000000002</v>
          </cell>
          <cell r="M29">
            <v>925</v>
          </cell>
        </row>
        <row r="30">
          <cell r="B30">
            <v>18750</v>
          </cell>
          <cell r="C30">
            <v>19249.990000000002</v>
          </cell>
          <cell r="M30">
            <v>950</v>
          </cell>
        </row>
        <row r="31">
          <cell r="B31">
            <v>19250</v>
          </cell>
          <cell r="C31">
            <v>19749.990000000002</v>
          </cell>
          <cell r="M31">
            <v>975</v>
          </cell>
        </row>
        <row r="32">
          <cell r="B32">
            <v>19750</v>
          </cell>
          <cell r="C32">
            <v>20249.990000000002</v>
          </cell>
          <cell r="M32">
            <v>1000</v>
          </cell>
        </row>
        <row r="33">
          <cell r="B33">
            <v>20250</v>
          </cell>
          <cell r="C33">
            <v>20749.990000000002</v>
          </cell>
          <cell r="M33">
            <v>1025</v>
          </cell>
        </row>
        <row r="34">
          <cell r="B34">
            <v>20750</v>
          </cell>
          <cell r="C34">
            <v>21249.99</v>
          </cell>
          <cell r="M34">
            <v>1050</v>
          </cell>
        </row>
        <row r="35">
          <cell r="B35">
            <v>21250</v>
          </cell>
          <cell r="C35">
            <v>21749.99</v>
          </cell>
          <cell r="M35">
            <v>1075</v>
          </cell>
        </row>
        <row r="36">
          <cell r="B36">
            <v>21750</v>
          </cell>
          <cell r="C36">
            <v>22249.99</v>
          </cell>
          <cell r="M36">
            <v>1100</v>
          </cell>
        </row>
        <row r="37">
          <cell r="B37">
            <v>22250</v>
          </cell>
          <cell r="C37">
            <v>22749.99</v>
          </cell>
          <cell r="M37">
            <v>1125</v>
          </cell>
        </row>
        <row r="38">
          <cell r="B38">
            <v>22750</v>
          </cell>
          <cell r="C38">
            <v>23249.99</v>
          </cell>
          <cell r="M38">
            <v>1150</v>
          </cell>
        </row>
        <row r="39">
          <cell r="B39">
            <v>23250</v>
          </cell>
          <cell r="C39">
            <v>23749.99</v>
          </cell>
          <cell r="M39">
            <v>1175</v>
          </cell>
        </row>
        <row r="40">
          <cell r="B40">
            <v>23750</v>
          </cell>
          <cell r="C40">
            <v>24249.99</v>
          </cell>
          <cell r="M40">
            <v>1200</v>
          </cell>
        </row>
        <row r="41">
          <cell r="B41">
            <v>24250</v>
          </cell>
          <cell r="C41">
            <v>24749.99</v>
          </cell>
          <cell r="M41">
            <v>1225</v>
          </cell>
        </row>
        <row r="42">
          <cell r="B42">
            <v>24750</v>
          </cell>
          <cell r="C42">
            <v>25249.99</v>
          </cell>
          <cell r="M42">
            <v>1250</v>
          </cell>
        </row>
        <row r="43">
          <cell r="B43">
            <v>25250</v>
          </cell>
          <cell r="C43">
            <v>25749.99</v>
          </cell>
          <cell r="M43">
            <v>1275</v>
          </cell>
        </row>
        <row r="44">
          <cell r="B44">
            <v>25750</v>
          </cell>
          <cell r="C44">
            <v>26249.99</v>
          </cell>
          <cell r="M44">
            <v>1300</v>
          </cell>
        </row>
        <row r="45">
          <cell r="B45">
            <v>26250</v>
          </cell>
          <cell r="C45">
            <v>26749.99</v>
          </cell>
          <cell r="M45">
            <v>1325</v>
          </cell>
        </row>
        <row r="46">
          <cell r="B46">
            <v>26750</v>
          </cell>
          <cell r="C46">
            <v>27249.99</v>
          </cell>
          <cell r="M46">
            <v>1350</v>
          </cell>
        </row>
        <row r="47">
          <cell r="B47">
            <v>27250</v>
          </cell>
          <cell r="C47">
            <v>27749.99</v>
          </cell>
          <cell r="M47">
            <v>1375</v>
          </cell>
        </row>
        <row r="48">
          <cell r="B48">
            <v>27750</v>
          </cell>
          <cell r="C48">
            <v>28249.99</v>
          </cell>
          <cell r="M48">
            <v>1400</v>
          </cell>
        </row>
        <row r="49">
          <cell r="B49">
            <v>28250</v>
          </cell>
          <cell r="C49">
            <v>28749.99</v>
          </cell>
          <cell r="M49">
            <v>1425</v>
          </cell>
        </row>
        <row r="50">
          <cell r="B50">
            <v>28750</v>
          </cell>
          <cell r="C50">
            <v>29249.99</v>
          </cell>
          <cell r="M50">
            <v>1450</v>
          </cell>
        </row>
        <row r="51">
          <cell r="B51">
            <v>29250</v>
          </cell>
          <cell r="C51">
            <v>29749.99</v>
          </cell>
          <cell r="M51">
            <v>1475</v>
          </cell>
        </row>
        <row r="52">
          <cell r="B52">
            <v>29750</v>
          </cell>
          <cell r="C52">
            <v>30249.99</v>
          </cell>
          <cell r="M52">
            <v>1500</v>
          </cell>
        </row>
        <row r="53">
          <cell r="B53">
            <v>30250</v>
          </cell>
          <cell r="C53">
            <v>30749.99</v>
          </cell>
          <cell r="M53">
            <v>1525</v>
          </cell>
        </row>
        <row r="54">
          <cell r="B54">
            <v>30750</v>
          </cell>
          <cell r="C54">
            <v>31249.99</v>
          </cell>
          <cell r="M54">
            <v>1550</v>
          </cell>
        </row>
        <row r="55">
          <cell r="B55">
            <v>31250</v>
          </cell>
          <cell r="C55">
            <v>31749.99</v>
          </cell>
          <cell r="M55">
            <v>1575</v>
          </cell>
        </row>
        <row r="56">
          <cell r="B56">
            <v>31750</v>
          </cell>
          <cell r="C56">
            <v>32249.99</v>
          </cell>
          <cell r="M56">
            <v>1600</v>
          </cell>
        </row>
        <row r="57">
          <cell r="B57">
            <v>32250</v>
          </cell>
          <cell r="C57">
            <v>32749.99</v>
          </cell>
          <cell r="M57">
            <v>1625</v>
          </cell>
        </row>
        <row r="58">
          <cell r="B58">
            <v>32750</v>
          </cell>
          <cell r="C58">
            <v>33249.99</v>
          </cell>
          <cell r="M58">
            <v>1650</v>
          </cell>
        </row>
        <row r="59">
          <cell r="B59">
            <v>33250</v>
          </cell>
          <cell r="C59">
            <v>33749.99</v>
          </cell>
          <cell r="M59">
            <v>1675</v>
          </cell>
        </row>
        <row r="60">
          <cell r="B60">
            <v>33750</v>
          </cell>
          <cell r="C60">
            <v>34249.99</v>
          </cell>
          <cell r="M60">
            <v>1700</v>
          </cell>
        </row>
        <row r="61">
          <cell r="B61">
            <v>34250</v>
          </cell>
          <cell r="C61">
            <v>34749.99</v>
          </cell>
          <cell r="M61">
            <v>1725</v>
          </cell>
        </row>
        <row r="62">
          <cell r="B62">
            <v>34750</v>
          </cell>
          <cell r="C62">
            <v>999999999999.98999</v>
          </cell>
          <cell r="M62">
            <v>1750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6D24-3A75-4CE4-BA5B-8D06610900B7}">
  <dimension ref="A1:AF15"/>
  <sheetViews>
    <sheetView tabSelected="1" zoomScale="85" zoomScaleNormal="85" workbookViewId="0">
      <pane xSplit="2" ySplit="4" topLeftCell="C5" activePane="bottomRight" state="frozen"/>
      <selection pane="topRight" activeCell="F1" sqref="F1"/>
      <selection pane="bottomLeft" activeCell="A5" sqref="A5"/>
      <selection pane="bottomRight" activeCell="E33" sqref="E33"/>
    </sheetView>
  </sheetViews>
  <sheetFormatPr defaultColWidth="7.28515625" defaultRowHeight="15" x14ac:dyDescent="0.25"/>
  <cols>
    <col min="1" max="1" width="29" customWidth="1"/>
    <col min="2" max="3" width="13.7109375" customWidth="1"/>
    <col min="4" max="4" width="16.140625" customWidth="1"/>
    <col min="5" max="28" width="13.7109375" customWidth="1"/>
    <col min="29" max="29" width="15.28515625" customWidth="1"/>
    <col min="30" max="30" width="18.7109375" style="2" customWidth="1"/>
    <col min="31" max="31" width="16.140625" customWidth="1"/>
    <col min="32" max="32" width="13.7109375" style="3" customWidth="1"/>
    <col min="33" max="34" width="13.7109375" customWidth="1"/>
  </cols>
  <sheetData>
    <row r="1" spans="1:32" x14ac:dyDescent="0.25">
      <c r="A1" s="1" t="s">
        <v>0</v>
      </c>
    </row>
    <row r="2" spans="1:32" ht="15.75" thickBot="1" x14ac:dyDescent="0.3">
      <c r="A2" s="1" t="s">
        <v>1</v>
      </c>
      <c r="B2" s="4"/>
      <c r="E2" s="4"/>
      <c r="F2" s="4"/>
      <c r="G2" s="4"/>
      <c r="H2" s="4"/>
      <c r="I2" s="4"/>
      <c r="K2" s="5"/>
      <c r="L2" s="5"/>
      <c r="M2" s="5"/>
      <c r="N2" s="5"/>
      <c r="O2" s="6"/>
      <c r="Q2" s="5"/>
      <c r="R2" s="5"/>
      <c r="S2" s="5"/>
      <c r="T2" s="5" t="s">
        <v>2</v>
      </c>
      <c r="U2" s="7"/>
      <c r="V2" s="7"/>
      <c r="W2" s="7"/>
      <c r="X2" s="7"/>
      <c r="Y2" s="7"/>
      <c r="Z2" s="7"/>
      <c r="AA2" s="7"/>
      <c r="AB2" s="7"/>
      <c r="AC2" s="4"/>
    </row>
    <row r="3" spans="1:32" ht="15.75" thickBot="1" x14ac:dyDescent="0.3">
      <c r="A3" s="8" t="s">
        <v>3</v>
      </c>
      <c r="B3" s="4"/>
      <c r="G3" t="s">
        <v>4</v>
      </c>
      <c r="K3" s="9" t="s">
        <v>5</v>
      </c>
      <c r="L3" s="10"/>
      <c r="M3" s="10"/>
      <c r="N3" s="10"/>
      <c r="O3" s="6"/>
      <c r="P3" s="11" t="s">
        <v>6</v>
      </c>
      <c r="Q3" s="12"/>
      <c r="R3" s="12"/>
      <c r="S3" s="12"/>
      <c r="T3" s="13"/>
      <c r="U3" s="7"/>
      <c r="V3" s="7"/>
      <c r="W3" s="7"/>
      <c r="X3" s="7"/>
      <c r="Y3" s="7"/>
      <c r="Z3" s="7"/>
      <c r="AA3" s="7"/>
      <c r="AB3" s="7"/>
      <c r="AC3" s="14" t="s">
        <v>2</v>
      </c>
    </row>
    <row r="4" spans="1:32" ht="39" thickBot="1" x14ac:dyDescent="0.3">
      <c r="A4" s="15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18" t="s">
        <v>12</v>
      </c>
      <c r="G4" s="19" t="s">
        <v>13</v>
      </c>
      <c r="H4" s="20" t="s">
        <v>14</v>
      </c>
      <c r="I4" s="20" t="s">
        <v>15</v>
      </c>
      <c r="J4" s="21" t="s">
        <v>16</v>
      </c>
      <c r="K4" s="22" t="s">
        <v>17</v>
      </c>
      <c r="L4" s="23" t="s">
        <v>18</v>
      </c>
      <c r="M4" s="24" t="s">
        <v>19</v>
      </c>
      <c r="N4" s="24" t="s">
        <v>20</v>
      </c>
      <c r="O4" s="25" t="s">
        <v>21</v>
      </c>
      <c r="P4" s="26" t="s">
        <v>22</v>
      </c>
      <c r="Q4" s="26" t="s">
        <v>17</v>
      </c>
      <c r="R4" s="26" t="s">
        <v>19</v>
      </c>
      <c r="S4" s="26" t="s">
        <v>23</v>
      </c>
      <c r="T4" s="26" t="s">
        <v>24</v>
      </c>
      <c r="U4" s="27" t="s">
        <v>25</v>
      </c>
      <c r="V4" s="28" t="s">
        <v>26</v>
      </c>
      <c r="W4" s="28"/>
      <c r="X4" s="28"/>
      <c r="Y4" s="28"/>
      <c r="Z4" s="29" t="s">
        <v>27</v>
      </c>
      <c r="AA4" s="29" t="s">
        <v>28</v>
      </c>
      <c r="AB4" s="30" t="s">
        <v>24</v>
      </c>
      <c r="AC4" s="31" t="s">
        <v>29</v>
      </c>
      <c r="AD4" s="32" t="s">
        <v>30</v>
      </c>
      <c r="AE4" s="33" t="s">
        <v>31</v>
      </c>
      <c r="AF4" s="3" t="s">
        <v>32</v>
      </c>
    </row>
    <row r="5" spans="1:32" x14ac:dyDescent="0.25">
      <c r="A5" s="48" t="s">
        <v>33</v>
      </c>
      <c r="B5" s="39">
        <v>57886</v>
      </c>
      <c r="C5" s="35">
        <f t="shared" ref="C5" si="0">B5/2</f>
        <v>28943</v>
      </c>
      <c r="D5" s="34">
        <f t="shared" ref="D5" si="1">B5*12/261</f>
        <v>2661.4252873563219</v>
      </c>
      <c r="E5" s="34">
        <f t="shared" ref="E5" si="2">D5/8</f>
        <v>332.67816091954023</v>
      </c>
      <c r="F5" s="47">
        <f>D5*1*0</f>
        <v>0</v>
      </c>
      <c r="G5" s="37">
        <v>0</v>
      </c>
      <c r="H5" s="38"/>
      <c r="I5" s="38"/>
      <c r="J5" s="39">
        <f t="shared" ref="J5" si="3">C5+SUM(F5:I5)</f>
        <v>28943</v>
      </c>
      <c r="K5" s="40"/>
      <c r="L5" s="40"/>
      <c r="M5" s="41"/>
      <c r="N5" s="42"/>
      <c r="O5" s="36">
        <f t="shared" ref="O5" si="4">J5-SUM(K5:N5)</f>
        <v>28943</v>
      </c>
      <c r="P5" s="43">
        <f t="shared" ref="P5" si="5">AF5</f>
        <v>3392.7000000000003</v>
      </c>
      <c r="Q5" s="34"/>
      <c r="R5" s="36"/>
      <c r="S5" s="36"/>
      <c r="T5" s="36"/>
      <c r="U5" s="36">
        <f t="shared" ref="U5" si="6">SUM(P5:T5)</f>
        <v>3392.7000000000003</v>
      </c>
      <c r="V5" s="36">
        <f t="shared" ref="V5" si="7">O5-U5</f>
        <v>25550.3</v>
      </c>
      <c r="W5" s="36"/>
      <c r="X5" s="36"/>
      <c r="Y5" s="36"/>
      <c r="Z5" s="36"/>
      <c r="AA5" s="36"/>
      <c r="AB5" s="36"/>
      <c r="AC5" s="44">
        <f t="shared" ref="AC5" si="8">V5+Z5+AA5+AB5</f>
        <v>25550.3</v>
      </c>
      <c r="AD5" s="45">
        <f t="shared" ref="AD5" si="9">J5+Z5</f>
        <v>28943</v>
      </c>
      <c r="AE5" s="46">
        <f t="shared" ref="AE5" si="10">O5</f>
        <v>28943</v>
      </c>
      <c r="AF5" s="3" cm="1">
        <f t="array" ref="AF5">_xlfn.IFS(
    AE5&lt;=10417, 0,
    AE5&lt;=16666, (AE5-10417)*15%,
    AE5&lt;=33332, (AE5-16667)*20% + 937.5,
    AE5&lt;=83332, (AE5-33333)*25% + 4270.7,
    AE5&lt;=333332, (AE5-83333)*30% + 16770.7,
    AE5&gt;333333, (AE5-333333)*35% + 91770.7
)</f>
        <v>3392.7000000000003</v>
      </c>
    </row>
    <row r="6" spans="1:32" x14ac:dyDescent="0.25">
      <c r="B6" s="46"/>
      <c r="F6" s="59"/>
      <c r="J6" s="4"/>
      <c r="AC6" s="4"/>
      <c r="AE6" s="4"/>
      <c r="AF6" s="58"/>
    </row>
    <row r="7" spans="1:32" x14ac:dyDescent="0.25">
      <c r="A7" s="52"/>
      <c r="B7" s="53"/>
      <c r="C7" s="35"/>
      <c r="D7" s="53"/>
      <c r="E7" s="53"/>
      <c r="F7" s="55"/>
      <c r="G7" s="55"/>
      <c r="H7" s="51"/>
      <c r="I7" s="51"/>
      <c r="J7" s="53"/>
      <c r="K7" s="54"/>
      <c r="L7" s="54"/>
      <c r="M7" s="54"/>
      <c r="N7" s="34"/>
      <c r="O7" s="36"/>
      <c r="P7" s="43"/>
      <c r="Q7" s="53"/>
      <c r="R7" s="55"/>
      <c r="S7" s="55"/>
      <c r="T7" s="55"/>
      <c r="U7" s="55"/>
      <c r="V7" s="36"/>
      <c r="W7" s="55"/>
      <c r="X7" s="55"/>
      <c r="Y7" s="55"/>
      <c r="Z7" s="55"/>
      <c r="AA7" s="55"/>
      <c r="AB7" s="55"/>
      <c r="AC7" s="56"/>
      <c r="AD7" s="57"/>
      <c r="AE7" s="4"/>
      <c r="AF7" s="58"/>
    </row>
    <row r="8" spans="1:32" x14ac:dyDescent="0.25">
      <c r="AF8" s="58"/>
    </row>
    <row r="9" spans="1:32" x14ac:dyDescent="0.25">
      <c r="A9" s="1" t="s">
        <v>0</v>
      </c>
      <c r="AF9" s="58"/>
    </row>
    <row r="10" spans="1:32" ht="15.75" thickBot="1" x14ac:dyDescent="0.3">
      <c r="A10" s="1" t="s">
        <v>1</v>
      </c>
      <c r="B10" s="4"/>
      <c r="E10" s="4"/>
      <c r="F10" s="4"/>
      <c r="G10" s="4"/>
      <c r="H10" s="4"/>
      <c r="I10" s="4"/>
      <c r="K10" s="5"/>
      <c r="L10" s="5"/>
      <c r="M10" s="5"/>
      <c r="N10" s="5"/>
      <c r="O10" s="6"/>
      <c r="Q10" s="5"/>
      <c r="R10" s="5"/>
      <c r="S10" s="5"/>
      <c r="T10" s="5" t="s">
        <v>2</v>
      </c>
      <c r="U10" s="7"/>
      <c r="V10" s="7"/>
      <c r="W10" s="7"/>
      <c r="X10" s="7"/>
      <c r="Y10" s="7"/>
      <c r="Z10" s="7"/>
      <c r="AA10" s="7"/>
      <c r="AB10" s="7"/>
      <c r="AC10" s="4"/>
      <c r="AF10" s="58"/>
    </row>
    <row r="11" spans="1:32" x14ac:dyDescent="0.25">
      <c r="A11" s="8" t="s">
        <v>34</v>
      </c>
      <c r="B11" s="4"/>
      <c r="G11" t="s">
        <v>4</v>
      </c>
      <c r="K11" s="9" t="s">
        <v>5</v>
      </c>
      <c r="L11" s="10"/>
      <c r="M11" s="10"/>
      <c r="N11" s="10"/>
      <c r="O11" s="6"/>
      <c r="P11" s="11" t="s">
        <v>6</v>
      </c>
      <c r="Q11" s="12"/>
      <c r="R11" s="12"/>
      <c r="S11" s="12"/>
      <c r="T11" s="13"/>
      <c r="U11" s="7"/>
      <c r="V11" s="7"/>
      <c r="W11" s="7"/>
      <c r="X11" s="7"/>
      <c r="Y11" s="7"/>
      <c r="Z11" s="7"/>
      <c r="AA11" s="7"/>
      <c r="AB11" s="7"/>
      <c r="AC11" s="14" t="s">
        <v>2</v>
      </c>
      <c r="AF11" s="58"/>
    </row>
    <row r="12" spans="1:32" ht="15.75" thickBot="1" x14ac:dyDescent="0.3">
      <c r="A12" s="8"/>
      <c r="B12" s="4"/>
      <c r="K12" s="60"/>
      <c r="L12" s="60"/>
      <c r="M12" s="60"/>
      <c r="N12" s="60" t="s">
        <v>35</v>
      </c>
      <c r="O12" s="6"/>
      <c r="P12" s="61"/>
      <c r="Q12" s="61"/>
      <c r="R12" s="61"/>
      <c r="S12" s="61"/>
      <c r="T12" s="61"/>
      <c r="U12" s="7"/>
      <c r="V12" s="7"/>
      <c r="W12" s="7"/>
      <c r="X12" s="7"/>
      <c r="Y12" s="7"/>
      <c r="Z12" s="7"/>
      <c r="AA12" s="7"/>
      <c r="AB12" s="7"/>
      <c r="AC12" s="14"/>
      <c r="AF12" s="58"/>
    </row>
    <row r="13" spans="1:32" ht="39" thickBot="1" x14ac:dyDescent="0.3">
      <c r="A13" s="15" t="s">
        <v>7</v>
      </c>
      <c r="B13" s="18" t="s">
        <v>8</v>
      </c>
      <c r="C13" s="17" t="s">
        <v>9</v>
      </c>
      <c r="D13" s="17" t="s">
        <v>10</v>
      </c>
      <c r="E13" s="17" t="s">
        <v>11</v>
      </c>
      <c r="F13" s="18" t="s">
        <v>12</v>
      </c>
      <c r="G13" s="19" t="s">
        <v>13</v>
      </c>
      <c r="H13" s="20" t="s">
        <v>14</v>
      </c>
      <c r="I13" s="20" t="s">
        <v>15</v>
      </c>
      <c r="J13" s="21" t="s">
        <v>16</v>
      </c>
      <c r="K13" s="22" t="s">
        <v>17</v>
      </c>
      <c r="L13" s="22"/>
      <c r="M13" s="24" t="s">
        <v>19</v>
      </c>
      <c r="N13" s="24" t="s">
        <v>20</v>
      </c>
      <c r="O13" s="25" t="s">
        <v>21</v>
      </c>
      <c r="P13" s="26" t="s">
        <v>22</v>
      </c>
      <c r="Q13" s="26" t="s">
        <v>17</v>
      </c>
      <c r="R13" s="26" t="s">
        <v>19</v>
      </c>
      <c r="S13" s="26" t="s">
        <v>23</v>
      </c>
      <c r="T13" s="26" t="s">
        <v>24</v>
      </c>
      <c r="U13" s="27" t="s">
        <v>25</v>
      </c>
      <c r="V13" s="28" t="s">
        <v>26</v>
      </c>
      <c r="W13" s="62" t="s">
        <v>36</v>
      </c>
      <c r="X13" s="62" t="s">
        <v>37</v>
      </c>
      <c r="Y13" s="62" t="s">
        <v>38</v>
      </c>
      <c r="Z13" s="29" t="s">
        <v>27</v>
      </c>
      <c r="AA13" s="29" t="s">
        <v>39</v>
      </c>
      <c r="AB13" s="30" t="s">
        <v>24</v>
      </c>
      <c r="AC13" s="31" t="s">
        <v>29</v>
      </c>
      <c r="AD13" s="32" t="s">
        <v>30</v>
      </c>
      <c r="AE13" s="33" t="s">
        <v>31</v>
      </c>
      <c r="AF13" s="3" t="s">
        <v>32</v>
      </c>
    </row>
    <row r="14" spans="1:32" s="1" customFormat="1" x14ac:dyDescent="0.25">
      <c r="A14" s="48" t="s">
        <v>33</v>
      </c>
      <c r="B14" s="39">
        <f>B5</f>
        <v>57886</v>
      </c>
      <c r="C14" s="35">
        <f t="shared" ref="C14" si="11">B14/2</f>
        <v>28943</v>
      </c>
      <c r="D14" s="38">
        <f t="shared" ref="D14" si="12">B14*12/261</f>
        <v>2661.4252873563219</v>
      </c>
      <c r="E14" s="38">
        <f t="shared" ref="E14" si="13">D14/8</f>
        <v>332.67816091954023</v>
      </c>
      <c r="F14" s="47">
        <f>D14*1*0</f>
        <v>0</v>
      </c>
      <c r="G14" s="37">
        <v>0</v>
      </c>
      <c r="H14" s="38"/>
      <c r="I14" s="51"/>
      <c r="J14" s="53">
        <f t="shared" ref="J14" si="14">C14+SUM(F14:I14)</f>
        <v>28943</v>
      </c>
      <c r="K14" s="40" cm="1">
        <f t="array" ref="K14">INDEX([1]SSS!M10:M70,MATCH(1,(B14&gt;=[1]SSS!B10:B70)*(B14&lt;=[1]SSS!C10:C70),0))</f>
        <v>1750</v>
      </c>
      <c r="L14" s="49"/>
      <c r="M14" s="49">
        <v>200</v>
      </c>
      <c r="N14" s="50">
        <f t="shared" ref="N14" si="15">MIN((B14*0.05)/2,2500)</f>
        <v>1447.15</v>
      </c>
      <c r="O14" s="36">
        <f t="shared" ref="O14" si="16">J14-SUM(K14:N14)</f>
        <v>25545.85</v>
      </c>
      <c r="P14" s="43">
        <f t="shared" ref="P14" si="17">AF14</f>
        <v>2713.2699999999995</v>
      </c>
      <c r="Q14" s="64"/>
      <c r="R14" s="65"/>
      <c r="S14" s="65"/>
      <c r="T14" s="63"/>
      <c r="U14" s="47">
        <f t="shared" ref="U14" si="18">SUM(P14:T14)</f>
        <v>2713.2699999999995</v>
      </c>
      <c r="V14" s="47">
        <f t="shared" ref="V14" si="19">J14-(SUM(K14:N14)+U14)</f>
        <v>22832.58</v>
      </c>
      <c r="W14" s="47">
        <v>2000</v>
      </c>
      <c r="X14" s="55">
        <v>500</v>
      </c>
      <c r="Y14" s="55">
        <v>3000</v>
      </c>
      <c r="Z14" s="55">
        <f t="shared" ref="Z14" si="20">SUM(W14:Y14)</f>
        <v>5500</v>
      </c>
      <c r="AA14" s="55"/>
      <c r="AB14" s="36"/>
      <c r="AC14" s="44">
        <f t="shared" ref="AC14" si="21">V14+Z14+AA14+AB14</f>
        <v>28332.58</v>
      </c>
      <c r="AD14" s="45">
        <f t="shared" ref="AD14" si="22">J14+Z14</f>
        <v>34443</v>
      </c>
      <c r="AE14" s="46">
        <f t="shared" ref="AE14" si="23">O14</f>
        <v>25545.85</v>
      </c>
      <c r="AF14" s="3" cm="1">
        <f t="array" ref="AF14">_xlfn.IFS(
    AE14&lt;=10417, 0,
    AE14&lt;=16666, (AE14-10417)*15%,
    AE14&lt;=33332, (AE14-16667)*20% + 937.5,
    AE14&lt;=83332, (AE14-33333)*25% + 4270.7,
    AE14&lt;=333332, (AE14-83333)*30% + 16770.7,
    AE14&gt;333333, (AE14-333333)*35% + 91770.7
)</f>
        <v>2713.2699999999995</v>
      </c>
    </row>
    <row r="15" spans="1:32" x14ac:dyDescent="0.25">
      <c r="N15" s="59"/>
    </row>
  </sheetData>
  <autoFilter ref="A4:AF14" xr:uid="{02F28914-4BB3-4304-AAEF-33C256815E8C}">
    <sortState xmlns:xlrd2="http://schemas.microsoft.com/office/spreadsheetml/2017/richdata2" ref="A5:AF5">
      <sortCondition ref="A4"/>
    </sortState>
  </autoFilter>
  <mergeCells count="2">
    <mergeCell ref="K3:N3"/>
    <mergeCell ref="K11:N1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Harvey -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Valdoria</dc:creator>
  <cp:lastModifiedBy>Dom Valdoria</cp:lastModifiedBy>
  <dcterms:created xsi:type="dcterms:W3CDTF">2025-12-15T04:49:45Z</dcterms:created>
  <dcterms:modified xsi:type="dcterms:W3CDTF">2025-12-15T04:59:56Z</dcterms:modified>
</cp:coreProperties>
</file>